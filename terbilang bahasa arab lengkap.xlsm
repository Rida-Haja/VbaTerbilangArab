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9200" windowHeight="7695" activeTab="1"/>
  </bookViews>
  <sheets>
    <sheet name="README" sheetId="1" r:id="rId1"/>
    <sheet name="Sheet1" sheetId="7" r:id="rId2"/>
  </sheets>
  <functionGroups builtInGroupCount="18">
    <functionGroup name="ArabPro+ Tools"/>
  </functionGroups>
  <calcPr calcId="152511"/>
  <extLst>
    <ext xmlns:x14="http://schemas.microsoft.com/office/spreadsheetml/2009/9/main" uri="{8193D73E-4604-4355-AFF4-8A2333D13BE4}">
      <x14:definedNames>
        <x14:definedName name="AngkaKeTeksArab">
          <x14:argumentDescriptions count="7">
            <x14:argumentDescription index="0">Nilai angka yang akan dikonversi (Mendukung hingga 63 digit).</x14:argumentDescription>
            <x14:argumentDescription index="1">1: Terbilang Kata (Default), 2: Eja Per Digit.</x14:argumentDescription>
            <x14:argumentDescription index="2">1: Muzakkar (Default), 2: Muannas.</x14:argumentDescription>
            <x14:argumentDescription index="3">1: Klasik, 2: Modern (Default).</x14:argumentDescription>
            <x14:argumentDescription index="4">True: Mode Mata Uang, False: Desimal Biasa.</x14:argumentDescription>
            <x14:argumentDescription index="5">1: Marfu (-uun/ani), 2: Mansub/Majrur (-iin/aini).</x14:argumentDescription>
            <x14:argumentDescription index="6">TRUE: Pakai (YA), FALSE: ()</x14:argumentDescription>
          </x14:argumentDescriptions>
        </x14:definedName>
        <x14:definedName name="Arab">
          <x14:argumentDescriptions count="6">
            <x14:argumentDescription index="0">Nilai angka yang akan dikonversi (Mendukung hingga 63 digit).</x14:argumentDescription>
            <x14:argumentDescription index="1">1: Terbilang Kata (Default), 2: Eja Per Digit.</x14:argumentDescription>
            <x14:argumentDescription index="2">1: Muzakkar (Default), 2: Muannas.</x14:argumentDescription>
            <x14:argumentDescription index="3">1: Klasik, 2: Modern (Default).</x14:argumentDescription>
            <x14:argumentDescription index="4">True: Mode Mata Uang, False: Desimal Biasa.</x14:argumentDescription>
            <x14:argumentDescription index="5">1: Marfu (-uun/ani), 2: Mansub/Majrur (-iin/aini).</x14:argumentDescription>
          </x14:argumentDescriptions>
        </x14:definedName>
        <x14:definedName name="ArabCurrency">
          <x14:argumentDescriptions count="2">
            <x14:argumentDescription index="0">Nilai nominal uang.</x14:argumentDescription>
            <x14:argumentDescription index="1">Kode Negara: id (Rupiah), sa (Riyal), kw (Dinar), ae (Dirham), jo (Dinar), ma (Dirham).</x14:argumentDescription>
          </x14:argumentDescriptions>
        </x14:definedName>
        <x14:definedName name="ArabUniversal">
          <x14:argumentDescriptions count="4">
            <x14:argumentDescription index="0">Nilai angka/sel.</x14:argumentDescription>
            <x14:argumentDescription index="1">Kelompok: 1-3(Jarak), 4-7(Massa), 10-13(Waktu), 20-22(Sosial), 60-62(Ordinal).</x14:argumentDescription>
            <x14:argumentDescription index="2">1: Muzakkar (Laki-laki), 2: Muannas (Perempuan).</x14:argumentDescription>
            <x14:argumentDescription index="3">True: Angka Urutan (Ordinal), False: Angka Biasa (Kardinal).</x14:argumentDescription>
          </x14:argumentDescriptions>
        </x14:definedName>
        <x14:definedName name="TER_ARAB">
          <x14:argumentDescriptions count="3">
            <x14:argumentDescription index="0">Angka yang akan dikonversi.</x14:argumentDescription>
            <x14:argumentDescription index="1">Mode: umum, urutan, uang.</x14:argumentDescription>
            <x14:argumentDescription index="2">Gender: m | f.</x14:argumentDescription>
          </x14:argumentDescriptions>
        </x14:definedName>
        <x14:definedName name="TERBILANG_ARAB">
          <x14:argumentDescriptions count="8">
            <x14:argumentDescription index="0">Angka atau referensi sel (Mendukung angka sangat besar).</x14:argumentDescription>
            <x14:argumentDescription index="1">Mode: umum, uang, urutan, eja, benda, jarak, waktu.</x14:argumentDescription>
            <x14:argumentDescription index="2">Gender: m (Laki-laki) | f (Perempuan).</x14:argumentDescription>
            <x14:argumentDescription index="3">I'rab: u (Marfu - Subjek) | a (Mansub/Majrur - Objek).</x14:argumentDescription>
            <x14:argumentDescription index="4">Gaya: modern (spasi) | klasik (sambung - wa).</x14:argumentDescription>
            <x14:argumentDescription index="5">Parameter Tambahan: ID Negara (id, sa) atau ID Benda (1-63).</x14:argumentDescription>
            <x14:argumentDescription index="6">True: Dengan Harakat lengkap, False: Polos.</x14:argumentDescription>
            <x14:argumentDescription index="7">Thaman Lengkap: True (Ya), False (Tanpa Ya).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7" l="1"/>
  <c r="D38" i="1"/>
  <c r="D40" i="1"/>
  <c r="D5" i="7"/>
  <c r="F5" i="7" l="1"/>
  <c r="D36" i="1"/>
  <c r="D33" i="1"/>
</calcChain>
</file>

<file path=xl/sharedStrings.xml><?xml version="1.0" encoding="utf-8"?>
<sst xmlns="http://schemas.openxmlformats.org/spreadsheetml/2006/main" count="143" uniqueCount="126">
  <si>
    <t>Angka</t>
  </si>
  <si>
    <t>Konverter Angka ke Bahasa Arab dengan Tata Bahasa Lengkap</t>
  </si>
  <si>
    <t>Developer: Rida Rahman</t>
  </si>
  <si>
    <t>Email: RidaHaja@gmail.com</t>
  </si>
  <si>
    <t>Tanggal: 24 Januari 2026</t>
  </si>
  <si>
    <t>──────────────────────────────────────</t>
  </si>
  <si>
    <t>=TERBILANG_ARAB(1250,"uang","m",,"","id",TRUE)</t>
  </si>
  <si>
    <t>Catatan: Seluruh kode menggunakan Unicode (ChrW) untuk karakter Arab — kompatibel global.</t>
  </si>
  <si>
    <t>© 2026 Rida Rahman. Dokumen ini bebas digunakan untuk pendidikan/komersial dengan mencantumkan sumber.</t>
  </si>
  <si>
    <t>PANDUAN PENGGUNAAN ARABPRO+</t>
  </si>
  <si>
    <t>🔧 1. Instalasi di Excel</t>
  </si>
  <si>
    <t>3. Tempel seluruh kode VBA dari file Anda.</t>
  </si>
  <si>
    <t>📌 2. Fungsi Utama &amp; Parameter</t>
  </si>
  <si>
    <t>Parameter</t>
  </si>
  <si>
    <t>Nilai yang Diterima</t>
  </si>
  <si>
    <t>Keterangan</t>
  </si>
  <si>
    <t>Angka atau referensi sel</t>
  </si>
  <si>
    <t>Mode</t>
  </si>
  <si>
    <t>Jenis konversi</t>
  </si>
  <si>
    <t>Gender</t>
  </si>
  <si>
    <t>I'rab</t>
  </si>
  <si>
    <t>Gaya</t>
  </si>
  <si>
    <t>Digunakan sesuai mode</t>
  </si>
  <si>
    <t>Harakat</t>
  </si>
  <si>
    <t>🔹 Contoh:</t>
  </si>
  <si>
    <t>Kode</t>
  </si>
  <si>
    <t>Negara</t>
  </si>
  <si>
    <t>Mata Uang</t>
  </si>
  <si>
    <t>id</t>
  </si>
  <si>
    <t>Indonesia</t>
  </si>
  <si>
    <t>Rupiah</t>
  </si>
  <si>
    <t>sa</t>
  </si>
  <si>
    <t>Arab Saudi</t>
  </si>
  <si>
    <t>Riyal</t>
  </si>
  <si>
    <t>kw</t>
  </si>
  <si>
    <t>Kuwait</t>
  </si>
  <si>
    <t>Dinar</t>
  </si>
  <si>
    <t>ae</t>
  </si>
  <si>
    <t>UEA</t>
  </si>
  <si>
    <t>Dirham</t>
  </si>
  <si>
    <t>qa</t>
  </si>
  <si>
    <t>Qatar</t>
  </si>
  <si>
    <t>my</t>
  </si>
  <si>
    <t>Malaysia</t>
  </si>
  <si>
    <t>Ringgit</t>
  </si>
  <si>
    <t>Singapura / Brunei</t>
  </si>
  <si>
    <t>Dollar</t>
  </si>
  <si>
    <t>jp</t>
  </si>
  <si>
    <t>Jepang</t>
  </si>
  <si>
    <t>Yen</t>
  </si>
  <si>
    <t>cn</t>
  </si>
  <si>
    <t>Tiongkok</t>
  </si>
  <si>
    <t>Yuan</t>
  </si>
  <si>
    <t>📚 3. Fitur Unggulan</t>
  </si>
  <si>
    <t>⚠️ 4. Batasan Penting</t>
  </si>
  <si>
    <t>Harakat hanya tersedia untuk kata-kata yang telah didefinisikan.</t>
  </si>
  <si>
    <t>=TERBILANG_ARAB(-45)</t>
  </si>
  <si>
    <t>2. Pilih Insert &gt; Module.</t>
  </si>
  <si>
    <r>
      <t xml:space="preserve">1. Buka Excel → tekan </t>
    </r>
    <r>
      <rPr>
        <sz val="11"/>
        <color rgb="FF615CED"/>
        <rFont val="Consolas"/>
        <family val="3"/>
      </rPr>
      <t>ALT + F11</t>
    </r>
    <r>
      <rPr>
        <sz val="11"/>
        <color rgb="FF1D1D1F"/>
        <rFont val="Arial"/>
        <family val="2"/>
      </rPr>
      <t>.</t>
    </r>
  </si>
  <si>
    <r>
      <t xml:space="preserve">4. Simpan sebagai </t>
    </r>
    <r>
      <rPr>
        <sz val="11"/>
        <color rgb="FF615CED"/>
        <rFont val="Consolas"/>
        <family val="3"/>
      </rPr>
      <t>.xlsm</t>
    </r>
    <r>
      <rPr>
        <sz val="11"/>
        <color rgb="FF1D1D1F"/>
        <rFont val="Arial"/>
        <family val="2"/>
      </rPr>
      <t xml:space="preserve"> (Macro-Enabled Workbook).</t>
    </r>
  </si>
  <si>
    <r>
      <t xml:space="preserve">5. (Opsional) Jalankan makro </t>
    </r>
    <r>
      <rPr>
        <sz val="11"/>
        <color rgb="FF615CED"/>
        <rFont val="Consolas"/>
        <family val="3"/>
      </rPr>
      <t>RegisterArabFunctions</t>
    </r>
    <r>
      <rPr>
        <sz val="11"/>
        <color rgb="FF1D1D1F"/>
        <rFont val="Arial"/>
        <family val="2"/>
      </rPr>
      <t xml:space="preserve"> agar muncul deskripsi fungsi di Excel.</t>
    </r>
  </si>
  <si>
    <r>
      <t xml:space="preserve">Contoh: </t>
    </r>
    <r>
      <rPr>
        <sz val="11"/>
        <color rgb="FF615CED"/>
        <rFont val="Consolas"/>
        <family val="3"/>
      </rPr>
      <t>125</t>
    </r>
    <r>
      <rPr>
        <sz val="11"/>
        <color rgb="FF1D1D1F"/>
        <rFont val="Arial"/>
        <family val="2"/>
      </rPr>
      <t xml:space="preserve">, </t>
    </r>
    <r>
      <rPr>
        <sz val="11"/>
        <color rgb="FF615CED"/>
        <rFont val="Consolas"/>
        <family val="3"/>
      </rPr>
      <t>A1</t>
    </r>
  </si>
  <si>
    <r>
      <t>"m"</t>
    </r>
    <r>
      <rPr>
        <sz val="11"/>
        <color rgb="FF1D1D1F"/>
        <rFont val="Arial"/>
        <family val="2"/>
      </rPr>
      <t xml:space="preserve"> (laki-laki), </t>
    </r>
    <r>
      <rPr>
        <sz val="11"/>
        <color rgb="FF615CED"/>
        <rFont val="Consolas"/>
        <family val="3"/>
      </rPr>
      <t>"f"</t>
    </r>
    <r>
      <rPr>
        <sz val="11"/>
        <color rgb="FF1D1D1F"/>
        <rFont val="Arial"/>
        <family val="2"/>
      </rPr>
      <t xml:space="preserve"> (perempuan)</t>
    </r>
  </si>
  <si>
    <r>
      <t xml:space="preserve">Default: </t>
    </r>
    <r>
      <rPr>
        <sz val="11"/>
        <color rgb="FF615CED"/>
        <rFont val="Consolas"/>
        <family val="3"/>
      </rPr>
      <t>"m"</t>
    </r>
  </si>
  <si>
    <r>
      <t>"u"</t>
    </r>
    <r>
      <rPr>
        <sz val="11"/>
        <color rgb="FF1D1D1F"/>
        <rFont val="Arial"/>
        <family val="2"/>
      </rPr>
      <t xml:space="preserve"> (Marfu’), </t>
    </r>
    <r>
      <rPr>
        <sz val="11"/>
        <color rgb="FF615CED"/>
        <rFont val="Consolas"/>
        <family val="3"/>
      </rPr>
      <t>"a"</t>
    </r>
    <r>
      <rPr>
        <sz val="11"/>
        <color rgb="FF1D1D1F"/>
        <rFont val="Arial"/>
        <family val="2"/>
      </rPr>
      <t xml:space="preserve"> (Mansub/Majrur)</t>
    </r>
  </si>
  <si>
    <r>
      <t xml:space="preserve">Default: </t>
    </r>
    <r>
      <rPr>
        <sz val="11"/>
        <color rgb="FF615CED"/>
        <rFont val="Consolas"/>
        <family val="3"/>
      </rPr>
      <t>"u"</t>
    </r>
  </si>
  <si>
    <r>
      <t>Kode negara (</t>
    </r>
    <r>
      <rPr>
        <sz val="11"/>
        <color rgb="FF615CED"/>
        <rFont val="Consolas"/>
        <family val="3"/>
      </rPr>
      <t>"id"</t>
    </r>
    <r>
      <rPr>
        <sz val="11"/>
        <color rgb="FF1D1D1F"/>
        <rFont val="Arial"/>
        <family val="2"/>
      </rPr>
      <t xml:space="preserve">, </t>
    </r>
    <r>
      <rPr>
        <sz val="11"/>
        <color rgb="FF615CED"/>
        <rFont val="Consolas"/>
        <family val="3"/>
      </rPr>
      <t>"sa"</t>
    </r>
    <r>
      <rPr>
        <sz val="11"/>
        <color rgb="FF1D1D1F"/>
        <rFont val="Arial"/>
        <family val="2"/>
      </rPr>
      <t>) atau ID benda (</t>
    </r>
    <r>
      <rPr>
        <sz val="11"/>
        <color rgb="FF615CED"/>
        <rFont val="Consolas"/>
        <family val="3"/>
      </rPr>
      <t>8</t>
    </r>
    <r>
      <rPr>
        <sz val="11"/>
        <color rgb="FF1D1D1F"/>
        <rFont val="Arial"/>
        <family val="2"/>
      </rPr>
      <t xml:space="preserve">, </t>
    </r>
    <r>
      <rPr>
        <sz val="11"/>
        <color rgb="FF615CED"/>
        <rFont val="Consolas"/>
        <family val="3"/>
      </rPr>
      <t>15</t>
    </r>
    <r>
      <rPr>
        <sz val="11"/>
        <color rgb="FF1D1D1F"/>
        <rFont val="Arial"/>
        <family val="2"/>
      </rPr>
      <t>, dll)</t>
    </r>
  </si>
  <si>
    <r>
      <t>TRUE</t>
    </r>
    <r>
      <rPr>
        <sz val="11"/>
        <color rgb="FF1D1D1F"/>
        <rFont val="Arial"/>
        <family val="2"/>
      </rPr>
      <t xml:space="preserve"> / </t>
    </r>
    <r>
      <rPr>
        <sz val="11"/>
        <color rgb="FF615CED"/>
        <rFont val="Consolas"/>
        <family val="3"/>
      </rPr>
      <t>FALSE</t>
    </r>
  </si>
  <si>
    <r>
      <t>sg</t>
    </r>
    <r>
      <rPr>
        <sz val="11"/>
        <color rgb="FF1D1D1F"/>
        <rFont val="Arial"/>
        <family val="2"/>
      </rPr>
      <t xml:space="preserve"> / </t>
    </r>
    <r>
      <rPr>
        <sz val="11"/>
        <color rgb="FF615CED"/>
        <rFont val="Consolas"/>
        <family val="3"/>
      </rPr>
      <t>bn</t>
    </r>
  </si>
  <si>
    <t>✅ Tata Bahasa Arab Lengkap: Gender, I’rab, Gaya</t>
  </si>
  <si>
    <t>✅ Dukungan 66 digit (hingga Vigintilyun = 10⁶³)</t>
  </si>
  <si>
    <t>✅ Harakat Otomatis (untuk pembelajaran/pencetakan resmi)</t>
  </si>
  <si>
    <t>✅ Desimal &amp; negatif didukung penuh</t>
  </si>
  <si>
    <t>✅ 10+ mata uang internasional</t>
  </si>
  <si>
    <t>Angka ordinal hanya 1–12.</t>
  </si>
  <si>
    <r>
      <t xml:space="preserve">Input maksimal 66 digit → melebihi itu: </t>
    </r>
    <r>
      <rPr>
        <sz val="12"/>
        <color rgb="FF615CED"/>
        <rFont val="Consolas"/>
        <family val="3"/>
      </rPr>
      <t>[Khatha': Melebihi Batas]</t>
    </r>
    <r>
      <rPr>
        <sz val="12"/>
        <color rgb="FF1D1D1F"/>
        <rFont val="Arial"/>
        <family val="2"/>
      </rPr>
      <t>.</t>
    </r>
  </si>
  <si>
    <t>Teks Arab</t>
  </si>
  <si>
    <t>umum, urutan, eja, uang, jarak, meter, waktu, buku, lainnya</t>
  </si>
  <si>
    <t>Masukkan ID ini pada parameter ke-6 untuk menyebutkan angka + satuan secara otomatis.</t>
  </si>
  <si>
    <t>A. Jarak &amp; Ukuran</t>
  </si>
  <si>
    <r>
      <t>1</t>
    </r>
    <r>
      <rPr>
        <sz val="11"/>
        <color theme="1"/>
        <rFont val="Calibri"/>
        <family val="2"/>
        <charset val="178"/>
        <scheme val="minor"/>
      </rPr>
      <t xml:space="preserve"> : CM (Sentimeter)</t>
    </r>
  </si>
  <si>
    <r>
      <t>2</t>
    </r>
    <r>
      <rPr>
        <sz val="11"/>
        <color theme="1"/>
        <rFont val="Calibri"/>
        <family val="2"/>
        <charset val="178"/>
        <scheme val="minor"/>
      </rPr>
      <t xml:space="preserve"> : Meter</t>
    </r>
  </si>
  <si>
    <r>
      <t>3</t>
    </r>
    <r>
      <rPr>
        <sz val="11"/>
        <color theme="1"/>
        <rFont val="Calibri"/>
        <family val="2"/>
        <charset val="178"/>
        <scheme val="minor"/>
      </rPr>
      <t xml:space="preserve"> : KM (Kilometer)</t>
    </r>
  </si>
  <si>
    <t>B. Massa &amp; Volume</t>
  </si>
  <si>
    <r>
      <t>4</t>
    </r>
    <r>
      <rPr>
        <sz val="11"/>
        <color theme="1"/>
        <rFont val="Calibri"/>
        <family val="2"/>
        <charset val="178"/>
        <scheme val="minor"/>
      </rPr>
      <t xml:space="preserve"> : Gram</t>
    </r>
  </si>
  <si>
    <r>
      <t>5</t>
    </r>
    <r>
      <rPr>
        <sz val="11"/>
        <color theme="1"/>
        <rFont val="Calibri"/>
        <family val="2"/>
        <charset val="178"/>
        <scheme val="minor"/>
      </rPr>
      <t xml:space="preserve"> : KG (Kilogram)</t>
    </r>
  </si>
  <si>
    <r>
      <t>6</t>
    </r>
    <r>
      <rPr>
        <sz val="11"/>
        <color theme="1"/>
        <rFont val="Calibri"/>
        <family val="2"/>
        <charset val="178"/>
        <scheme val="minor"/>
      </rPr>
      <t xml:space="preserve"> : Ton</t>
    </r>
  </si>
  <si>
    <r>
      <t>7</t>
    </r>
    <r>
      <rPr>
        <sz val="11"/>
        <color theme="1"/>
        <rFont val="Calibri"/>
        <family val="2"/>
        <charset val="178"/>
        <scheme val="minor"/>
      </rPr>
      <t xml:space="preserve"> : Liter</t>
    </r>
  </si>
  <si>
    <r>
      <t>10</t>
    </r>
    <r>
      <rPr>
        <sz val="11"/>
        <color theme="1"/>
        <rFont val="Calibri"/>
        <family val="2"/>
        <charset val="178"/>
        <scheme val="minor"/>
      </rPr>
      <t xml:space="preserve"> : Jam (Sa'ah)</t>
    </r>
  </si>
  <si>
    <r>
      <t>11</t>
    </r>
    <r>
      <rPr>
        <sz val="11"/>
        <color theme="1"/>
        <rFont val="Calibri"/>
        <family val="2"/>
        <charset val="178"/>
        <scheme val="minor"/>
      </rPr>
      <t xml:space="preserve"> : Hari (Yaum)</t>
    </r>
  </si>
  <si>
    <r>
      <t>12</t>
    </r>
    <r>
      <rPr>
        <sz val="11"/>
        <color theme="1"/>
        <rFont val="Calibri"/>
        <family val="2"/>
        <charset val="178"/>
        <scheme val="minor"/>
      </rPr>
      <t xml:space="preserve"> : Bulan (Syahr)</t>
    </r>
  </si>
  <si>
    <r>
      <t>13</t>
    </r>
    <r>
      <rPr>
        <sz val="11"/>
        <color theme="1"/>
        <rFont val="Calibri"/>
        <family val="2"/>
        <charset val="178"/>
        <scheme val="minor"/>
      </rPr>
      <t xml:space="preserve"> : Tahun (Sanah)</t>
    </r>
  </si>
  <si>
    <t>D. Sosial &amp; Literasi</t>
  </si>
  <si>
    <r>
      <t>20</t>
    </r>
    <r>
      <rPr>
        <sz val="11"/>
        <color theme="1"/>
        <rFont val="Calibri"/>
        <family val="2"/>
        <charset val="178"/>
        <scheme val="minor"/>
      </rPr>
      <t xml:space="preserve"> : Orang (Syakhsh)</t>
    </r>
  </si>
  <si>
    <r>
      <t>21</t>
    </r>
    <r>
      <rPr>
        <sz val="11"/>
        <color theme="1"/>
        <rFont val="Calibri"/>
        <family val="2"/>
        <charset val="178"/>
        <scheme val="minor"/>
      </rPr>
      <t xml:space="preserve"> : Buku (Kitab)</t>
    </r>
  </si>
  <si>
    <r>
      <t>22</t>
    </r>
    <r>
      <rPr>
        <sz val="11"/>
        <color theme="1"/>
        <rFont val="Calibri"/>
        <family val="2"/>
        <charset val="178"/>
        <scheme val="minor"/>
      </rPr>
      <t xml:space="preserve"> : Halaman (Safhah)</t>
    </r>
  </si>
  <si>
    <t>E. Fisika &amp; Data</t>
  </si>
  <si>
    <r>
      <t>40</t>
    </r>
    <r>
      <rPr>
        <sz val="11"/>
        <color theme="1"/>
        <rFont val="Calibri"/>
        <family val="2"/>
        <charset val="178"/>
        <scheme val="minor"/>
      </rPr>
      <t xml:space="preserve"> : Volt</t>
    </r>
  </si>
  <si>
    <r>
      <t>41</t>
    </r>
    <r>
      <rPr>
        <sz val="11"/>
        <color theme="1"/>
        <rFont val="Calibri"/>
        <family val="2"/>
        <charset val="178"/>
        <scheme val="minor"/>
      </rPr>
      <t xml:space="preserve"> : Watt</t>
    </r>
  </si>
  <si>
    <r>
      <t>42</t>
    </r>
    <r>
      <rPr>
        <sz val="11"/>
        <color theme="1"/>
        <rFont val="Calibri"/>
        <family val="2"/>
        <charset val="178"/>
        <scheme val="minor"/>
      </rPr>
      <t xml:space="preserve"> : Ampere</t>
    </r>
  </si>
  <si>
    <r>
      <t>50</t>
    </r>
    <r>
      <rPr>
        <sz val="11"/>
        <color theme="1"/>
        <rFont val="Calibri"/>
        <family val="2"/>
        <charset val="178"/>
        <scheme val="minor"/>
      </rPr>
      <t xml:space="preserve"> : Derajat</t>
    </r>
  </si>
  <si>
    <r>
      <t>51</t>
    </r>
    <r>
      <rPr>
        <sz val="11"/>
        <color theme="1"/>
        <rFont val="Calibri"/>
        <family val="2"/>
        <charset val="178"/>
        <scheme val="minor"/>
      </rPr>
      <t xml:space="preserve"> : Persen (%)</t>
    </r>
  </si>
  <si>
    <r>
      <t>52</t>
    </r>
    <r>
      <rPr>
        <sz val="11"/>
        <color theme="1"/>
        <rFont val="Calibri"/>
        <family val="2"/>
        <charset val="178"/>
        <scheme val="minor"/>
      </rPr>
      <t xml:space="preserve"> : Byte</t>
    </r>
  </si>
  <si>
    <r>
      <t>53</t>
    </r>
    <r>
      <rPr>
        <sz val="11"/>
        <color theme="1"/>
        <rFont val="Calibri"/>
        <family val="2"/>
        <charset val="178"/>
        <scheme val="minor"/>
      </rPr>
      <t xml:space="preserve"> : GB (Gigabyte)</t>
    </r>
  </si>
  <si>
    <t>F. Geografi &amp; Posisi</t>
  </si>
  <si>
    <r>
      <t>61</t>
    </r>
    <r>
      <rPr>
        <sz val="11"/>
        <color theme="1"/>
        <rFont val="Calibri"/>
        <family val="2"/>
        <charset val="178"/>
        <scheme val="minor"/>
      </rPr>
      <t xml:space="preserve"> : Peringkat (Martabah)</t>
    </r>
  </si>
  <si>
    <r>
      <t>62</t>
    </r>
    <r>
      <rPr>
        <sz val="11"/>
        <color theme="1"/>
        <rFont val="Calibri"/>
        <family val="2"/>
        <charset val="178"/>
        <scheme val="minor"/>
      </rPr>
      <t xml:space="preserve"> : Tim (Fariq)</t>
    </r>
  </si>
  <si>
    <t>🌍 - KODE NEGARA (Mode: "uang")</t>
  </si>
  <si>
    <t>📦 - DAFTAR ID BENDA (Mode: "benda" / "unit")</t>
  </si>
  <si>
    <t>=TERBILANG_ARAB(5; "urutan"; "m")</t>
  </si>
  <si>
    <t>=TERBILANG_ARAB(100; "benda"; ; ; ; 51)</t>
  </si>
  <si>
    <t xml:space="preserve">Uang </t>
  </si>
  <si>
    <t xml:space="preserve">Minus </t>
  </si>
  <si>
    <t xml:space="preserve">Bab ke-5 </t>
  </si>
  <si>
    <r>
      <t>63</t>
    </r>
    <r>
      <rPr>
        <sz val="11"/>
        <color theme="1"/>
        <rFont val="Calibri"/>
        <family val="2"/>
        <charset val="178"/>
        <scheme val="minor"/>
      </rPr>
      <t xml:space="preserve"> : Khatulistiwa</t>
    </r>
  </si>
  <si>
    <r>
      <t>60</t>
    </r>
    <r>
      <rPr>
        <sz val="11"/>
        <color theme="1"/>
        <rFont val="Calibri"/>
        <family val="2"/>
        <charset val="178"/>
        <scheme val="minor"/>
      </rPr>
      <t xml:space="preserve"> : Bab / Kelas</t>
    </r>
  </si>
  <si>
    <t>Klasik, Modern, Sastra</t>
  </si>
  <si>
    <t>Menampilkan/menyembunyikan tasykil.</t>
  </si>
  <si>
    <t>"100%"</t>
  </si>
  <si>
    <t>C. Waktu</t>
  </si>
  <si>
    <r>
      <t xml:space="preserve">Default: </t>
    </r>
    <r>
      <rPr>
        <sz val="11"/>
        <color rgb="FF615CED"/>
        <rFont val="Consolas"/>
        <family val="3"/>
      </rPr>
      <t xml:space="preserve">"modern"
</t>
    </r>
    <r>
      <rPr>
        <sz val="11"/>
        <rFont val="Consolas"/>
        <family val="3"/>
      </rPr>
      <t>Klasik</t>
    </r>
    <r>
      <rPr>
        <sz val="11"/>
        <color rgb="FF615CED"/>
        <rFont val="Consolas"/>
        <family val="3"/>
      </rPr>
      <t xml:space="preserve">: Mengaktifkan rantai Idhafah dan ortografi </t>
    </r>
    <r>
      <rPr>
        <b/>
        <sz val="11"/>
        <color rgb="FF615CED"/>
        <rFont val="Consolas"/>
        <family val="3"/>
      </rPr>
      <t>Mi'ah dengan Alif (مائة)</t>
    </r>
    <r>
      <rPr>
        <sz val="11"/>
        <color rgb="FF615CED"/>
        <rFont val="Consolas"/>
        <family val="3"/>
      </rPr>
      <t xml:space="preserve"> untuk menjaga tradisi manuskrip kuno.
</t>
    </r>
    <r>
      <rPr>
        <sz val="11"/>
        <rFont val="Consolas"/>
        <family val="3"/>
      </rPr>
      <t>Modern</t>
    </r>
    <r>
      <rPr>
        <sz val="11"/>
        <color rgb="FF615CED"/>
        <rFont val="Consolas"/>
        <family val="3"/>
      </rPr>
      <t xml:space="preserve">: Menggunakan Waw sebagai pemisah dan ortografi </t>
    </r>
    <r>
      <rPr>
        <b/>
        <sz val="11"/>
        <color rgb="FF615CED"/>
        <rFont val="Consolas"/>
        <family val="3"/>
      </rPr>
      <t>Mi'ah tanpa Alif (مئة)</t>
    </r>
    <r>
      <rPr>
        <sz val="11"/>
        <color rgb="FF615CED"/>
        <rFont val="Consolas"/>
        <family val="3"/>
      </rPr>
      <t xml:space="preserve"> sesuai kaidah fonetik modern. 
</t>
    </r>
    <r>
      <rPr>
        <sz val="11"/>
        <rFont val="Consolas"/>
        <family val="3"/>
      </rPr>
      <t>Sastra</t>
    </r>
    <r>
      <rPr>
        <sz val="11"/>
        <color rgb="FF615CED"/>
        <rFont val="Consolas"/>
        <family val="3"/>
      </rPr>
      <t>: Prioritas rima (Saja'), Urutan puitis/terbalik</t>
    </r>
  </si>
  <si>
    <t>isTunggal</t>
  </si>
  <si>
    <r>
      <t xml:space="preserve">✅ A. </t>
    </r>
    <r>
      <rPr>
        <sz val="12"/>
        <color rgb="FF615CED"/>
        <rFont val="Consolas"/>
        <family val="3"/>
      </rPr>
      <t>=TERBILANG_ARAB(Angka, [Mode], [Gender], [I'rab], [Gaya], [Parameter], [Harakat], [isTunggal])</t>
    </r>
  </si>
  <si>
    <t>uang</t>
  </si>
  <si>
    <t>999999999999999999999999999.89'</t>
  </si>
  <si>
    <t>Opsi I'lal pada angka 8 (Thamani vs Thaman) dan huruf nun 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</si>
</sst>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charset val="178"/>
      <scheme val="minor"/>
    </font>
    <font>
      <sz val="8"/>
      <color rgb="FF1D1D1F"/>
      <name val="Arial"/>
      <family val="2"/>
    </font>
    <font>
      <sz val="8"/>
      <color rgb="FF1D1D1F"/>
      <name val="Arial"/>
      <family val="2"/>
    </font>
    <font>
      <sz val="10"/>
      <color rgb="FF615CED"/>
      <name val="Consolas"/>
      <family val="3"/>
    </font>
    <font>
      <b/>
      <sz val="8"/>
      <color rgb="FF1D1D1F"/>
      <name val="Arial"/>
      <family val="2"/>
    </font>
    <font>
      <sz val="12"/>
      <color rgb="FF1D1D1F"/>
      <name val="Arial"/>
      <family val="2"/>
    </font>
    <font>
      <sz val="16"/>
      <color rgb="FF1D1D1F"/>
      <name val="Arial"/>
      <family val="2"/>
    </font>
    <font>
      <sz val="12"/>
      <color rgb="FF615CED"/>
      <name val="Consolas"/>
      <family val="3"/>
    </font>
    <font>
      <sz val="11"/>
      <color rgb="FF1D1D1F"/>
      <name val="Arial"/>
      <family val="2"/>
    </font>
    <font>
      <sz val="11"/>
      <color rgb="FF615CED"/>
      <name val="Consolas"/>
      <family val="3"/>
    </font>
    <font>
      <b/>
      <sz val="11"/>
      <color rgb="FF1D1D1F"/>
      <name val="Arial"/>
      <family val="2"/>
    </font>
    <font>
      <sz val="12"/>
      <color theme="1"/>
      <name val="Arial"/>
      <family val="2"/>
    </font>
    <font>
      <sz val="11"/>
      <name val="Calibri"/>
      <family val="2"/>
      <scheme val="minor"/>
    </font>
    <font>
      <sz val="16"/>
      <color theme="1"/>
      <name val="Consolas"/>
      <family val="3"/>
    </font>
    <font>
      <sz val="16"/>
      <color theme="2" tint="-0.749992370372631"/>
      <name val="Consolas"/>
      <family val="3"/>
    </font>
    <font>
      <b/>
      <sz val="12"/>
      <color rgb="FF1D1D1F"/>
      <name val="Arial"/>
      <family val="2"/>
    </font>
    <font>
      <b/>
      <sz val="16"/>
      <color rgb="FF1D1D1F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rgb="FF1D1D1F"/>
      <name val="Arial"/>
      <family val="2"/>
    </font>
    <font>
      <b/>
      <sz val="12"/>
      <color theme="8"/>
      <name val="Arial"/>
      <family val="2"/>
    </font>
    <font>
      <b/>
      <strike/>
      <sz val="12"/>
      <color theme="8"/>
      <name val="Arial"/>
      <family val="2"/>
    </font>
    <font>
      <b/>
      <sz val="11"/>
      <color theme="1"/>
      <name val="Calibri"/>
      <family val="2"/>
      <charset val="178"/>
      <scheme val="minor"/>
    </font>
    <font>
      <b/>
      <sz val="13.5"/>
      <color theme="1"/>
      <name val="Calibri"/>
      <family val="2"/>
      <charset val="178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1"/>
      <color theme="1"/>
      <name val="Calibri Light"/>
      <family val="2"/>
      <scheme val="major"/>
    </font>
    <font>
      <b/>
      <sz val="11"/>
      <color rgb="FF615CED"/>
      <name val="Consolas"/>
      <family val="3"/>
    </font>
    <font>
      <sz val="1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horizontal="right"/>
    </xf>
  </cellStyleXfs>
  <cellXfs count="50">
    <xf numFmtId="0" fontId="0" fillId="0" borderId="0" xfId="0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/>
    </xf>
    <xf numFmtId="0" fontId="0" fillId="0" borderId="0" xfId="0" applyFill="1">
      <alignment horizontal="right"/>
    </xf>
    <xf numFmtId="0" fontId="4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0" fillId="0" borderId="0" xfId="0" quotePrefix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8" fillId="0" borderId="0" xfId="0" applyFont="1" applyAlignment="1">
      <alignment horizontal="right" vertical="center"/>
    </xf>
    <xf numFmtId="0" fontId="12" fillId="0" borderId="0" xfId="0" quotePrefix="1" applyFont="1" applyAlignment="1">
      <alignment horizontal="left"/>
    </xf>
    <xf numFmtId="0" fontId="11" fillId="0" borderId="0" xfId="0" applyFont="1" applyAlignment="1">
      <alignment horizontal="left"/>
    </xf>
    <xf numFmtId="0" fontId="10" fillId="2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right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13" fillId="0" borderId="0" xfId="0" applyFo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>
      <alignment horizontal="right"/>
    </xf>
    <xf numFmtId="0" fontId="1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right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49" fontId="18" fillId="2" borderId="1" xfId="0" quotePrefix="1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indent="1"/>
    </xf>
    <xf numFmtId="0" fontId="22" fillId="0" borderId="0" xfId="0" applyFont="1" applyAlignment="1">
      <alignment horizontal="left" vertical="center"/>
    </xf>
    <xf numFmtId="0" fontId="0" fillId="0" borderId="0" xfId="0" applyBorder="1">
      <alignment horizontal="right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0" fillId="0" borderId="0" xfId="0" quotePrefix="1" applyFont="1" applyAlignment="1">
      <alignment horizontal="left"/>
    </xf>
    <xf numFmtId="0" fontId="25" fillId="0" borderId="0" xfId="0" quotePrefix="1" applyFont="1" applyAlignment="1">
      <alignment horizontal="left"/>
    </xf>
    <xf numFmtId="0" fontId="8" fillId="2" borderId="0" xfId="0" applyFont="1" applyFill="1" applyBorder="1" applyAlignment="1">
      <alignment horizontal="right" vertical="center" wrapText="1"/>
    </xf>
    <xf numFmtId="0" fontId="17" fillId="0" borderId="0" xfId="0" applyFont="1" applyAlignment="1">
      <alignment vertical="top" wrapText="1"/>
    </xf>
    <xf numFmtId="0" fontId="5" fillId="0" borderId="4" xfId="0" applyFont="1" applyFill="1" applyBorder="1" applyAlignment="1">
      <alignment horizontal="right" vertical="center" wrapText="1"/>
    </xf>
    <xf numFmtId="0" fontId="16" fillId="0" borderId="0" xfId="0" applyFont="1" applyFill="1" applyBorder="1" applyAlignment="1">
      <alignment vertical="center" wrapText="1"/>
    </xf>
    <xf numFmtId="0" fontId="17" fillId="0" borderId="0" xfId="0" applyFont="1" applyAlignment="1">
      <alignment horizontal="center" vertical="top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107"/>
  <sheetViews>
    <sheetView workbookViewId="0"/>
  </sheetViews>
  <sheetFormatPr defaultRowHeight="15" x14ac:dyDescent="0.25"/>
  <cols>
    <col min="3" max="3" width="15.7109375" customWidth="1"/>
    <col min="4" max="4" width="36.5703125" customWidth="1"/>
    <col min="5" max="5" width="57.7109375" customWidth="1"/>
  </cols>
  <sheetData>
    <row r="2" spans="2:3" ht="15.75" x14ac:dyDescent="0.25">
      <c r="B2" s="21" t="s">
        <v>9</v>
      </c>
    </row>
    <row r="3" spans="2:3" ht="15.75" x14ac:dyDescent="0.25">
      <c r="B3" s="21" t="s">
        <v>1</v>
      </c>
    </row>
    <row r="4" spans="2:3" x14ac:dyDescent="0.25">
      <c r="B4" s="2"/>
    </row>
    <row r="5" spans="2:3" ht="15.75" x14ac:dyDescent="0.25">
      <c r="B5" s="21" t="s">
        <v>2</v>
      </c>
    </row>
    <row r="6" spans="2:3" ht="15.75" x14ac:dyDescent="0.25">
      <c r="B6" s="21" t="s">
        <v>3</v>
      </c>
    </row>
    <row r="7" spans="2:3" ht="15.75" x14ac:dyDescent="0.25">
      <c r="B7" s="21" t="s">
        <v>4</v>
      </c>
    </row>
    <row r="9" spans="2:3" x14ac:dyDescent="0.25">
      <c r="B9" s="2" t="s">
        <v>5</v>
      </c>
    </row>
    <row r="10" spans="2:3" ht="20.25" x14ac:dyDescent="0.25">
      <c r="B10" s="12" t="s">
        <v>10</v>
      </c>
    </row>
    <row r="11" spans="2:3" x14ac:dyDescent="0.25">
      <c r="B11" s="3"/>
      <c r="C11" s="14" t="s">
        <v>58</v>
      </c>
    </row>
    <row r="12" spans="2:3" x14ac:dyDescent="0.25">
      <c r="C12" s="14" t="s">
        <v>57</v>
      </c>
    </row>
    <row r="13" spans="2:3" x14ac:dyDescent="0.25">
      <c r="C13" s="14" t="s">
        <v>11</v>
      </c>
    </row>
    <row r="14" spans="2:3" x14ac:dyDescent="0.25">
      <c r="C14" s="14" t="s">
        <v>59</v>
      </c>
    </row>
    <row r="15" spans="2:3" x14ac:dyDescent="0.25">
      <c r="C15" s="14" t="s">
        <v>60</v>
      </c>
    </row>
    <row r="16" spans="2:3" x14ac:dyDescent="0.25">
      <c r="C16" s="4"/>
    </row>
    <row r="17" spans="2:14" ht="20.25" x14ac:dyDescent="0.25">
      <c r="B17" s="12" t="s">
        <v>12</v>
      </c>
    </row>
    <row r="18" spans="2:14" ht="15.75" x14ac:dyDescent="0.25">
      <c r="B18" s="11" t="s">
        <v>122</v>
      </c>
    </row>
    <row r="19" spans="2:14" x14ac:dyDescent="0.25">
      <c r="B19" s="23"/>
    </row>
    <row r="20" spans="2:14" x14ac:dyDescent="0.25">
      <c r="C20" s="2"/>
      <c r="N20" s="5"/>
    </row>
    <row r="21" spans="2:14" ht="18" customHeight="1" x14ac:dyDescent="0.25">
      <c r="B21" s="2"/>
      <c r="C21" s="22" t="s">
        <v>13</v>
      </c>
      <c r="D21" s="22" t="s">
        <v>14</v>
      </c>
      <c r="E21" s="22" t="s">
        <v>15</v>
      </c>
      <c r="M21" s="2"/>
    </row>
    <row r="22" spans="2:14" ht="18" customHeight="1" x14ac:dyDescent="0.25">
      <c r="C22" s="16" t="s">
        <v>0</v>
      </c>
      <c r="D22" s="17" t="s">
        <v>16</v>
      </c>
      <c r="E22" s="17" t="s">
        <v>61</v>
      </c>
    </row>
    <row r="23" spans="2:14" ht="45" x14ac:dyDescent="0.25">
      <c r="C23" s="16" t="s">
        <v>17</v>
      </c>
      <c r="D23" s="18" t="s">
        <v>77</v>
      </c>
      <c r="E23" s="17" t="s">
        <v>18</v>
      </c>
    </row>
    <row r="24" spans="2:14" ht="18" customHeight="1" x14ac:dyDescent="0.25">
      <c r="C24" s="16" t="s">
        <v>19</v>
      </c>
      <c r="D24" s="18" t="s">
        <v>62</v>
      </c>
      <c r="E24" s="17" t="s">
        <v>63</v>
      </c>
    </row>
    <row r="25" spans="2:14" ht="18" customHeight="1" x14ac:dyDescent="0.25">
      <c r="C25" s="16" t="s">
        <v>20</v>
      </c>
      <c r="D25" s="18" t="s">
        <v>64</v>
      </c>
      <c r="E25" s="17" t="s">
        <v>65</v>
      </c>
    </row>
    <row r="26" spans="2:14" ht="180" x14ac:dyDescent="0.25">
      <c r="C26" s="16" t="s">
        <v>21</v>
      </c>
      <c r="D26" s="18" t="s">
        <v>116</v>
      </c>
      <c r="E26" s="17" t="s">
        <v>120</v>
      </c>
    </row>
    <row r="27" spans="2:14" ht="30" x14ac:dyDescent="0.25">
      <c r="C27" s="16" t="s">
        <v>13</v>
      </c>
      <c r="D27" s="17" t="s">
        <v>66</v>
      </c>
      <c r="E27" s="17" t="s">
        <v>22</v>
      </c>
    </row>
    <row r="28" spans="2:14" ht="18" customHeight="1" x14ac:dyDescent="0.25">
      <c r="C28" s="16" t="s">
        <v>23</v>
      </c>
      <c r="D28" s="18" t="s">
        <v>67</v>
      </c>
      <c r="E28" s="17" t="s">
        <v>117</v>
      </c>
    </row>
    <row r="29" spans="2:14" ht="28.5" x14ac:dyDescent="0.25">
      <c r="C29" s="16" t="s">
        <v>121</v>
      </c>
      <c r="D29" s="18" t="s">
        <v>67</v>
      </c>
      <c r="E29" s="17" t="s">
        <v>125</v>
      </c>
    </row>
    <row r="31" spans="2:14" x14ac:dyDescent="0.25">
      <c r="B31" s="6"/>
      <c r="C31" s="19" t="s">
        <v>24</v>
      </c>
    </row>
    <row r="32" spans="2:14" x14ac:dyDescent="0.25">
      <c r="B32" s="6"/>
      <c r="C32" s="43" t="s">
        <v>111</v>
      </c>
      <c r="D32" s="10" t="s">
        <v>6</v>
      </c>
    </row>
    <row r="33" spans="2:5" ht="20.25" x14ac:dyDescent="0.3">
      <c r="D33" s="27" t="str">
        <f>"→ " &amp;TERBILANG_ARAB(1250,"uang","m",,"","id",TRUE)</f>
        <v>→ أَلْفُ و مئتان و خَمْسُونَ رُوْبِيَّة</v>
      </c>
    </row>
    <row r="34" spans="2:5" x14ac:dyDescent="0.25">
      <c r="D34" s="1"/>
    </row>
    <row r="35" spans="2:5" x14ac:dyDescent="0.25">
      <c r="C35" t="s">
        <v>112</v>
      </c>
      <c r="D35" s="20" t="s">
        <v>56</v>
      </c>
    </row>
    <row r="36" spans="2:5" ht="20.25" x14ac:dyDescent="0.3">
      <c r="D36" s="28" t="str">
        <f>" → " &amp;TERBILANG_ARAB(-45)</f>
        <v xml:space="preserve"> → سالب خمسة و أربعون</v>
      </c>
    </row>
    <row r="37" spans="2:5" x14ac:dyDescent="0.25">
      <c r="C37" t="s">
        <v>113</v>
      </c>
      <c r="D37" s="41" t="s">
        <v>109</v>
      </c>
    </row>
    <row r="38" spans="2:5" ht="20.25" x14ac:dyDescent="0.3">
      <c r="D38" s="26" t="str">
        <f>" → " &amp;TERBILANG_ARAB(5, "urutan", "m")</f>
        <v xml:space="preserve"> → الفصل الخامس</v>
      </c>
    </row>
    <row r="39" spans="2:5" x14ac:dyDescent="0.25">
      <c r="C39" t="s">
        <v>118</v>
      </c>
      <c r="D39" s="42" t="s">
        <v>110</v>
      </c>
    </row>
    <row r="40" spans="2:5" ht="20.25" x14ac:dyDescent="0.3">
      <c r="D40" s="26" t="str">
        <f>" → " &amp;TERBILANG_ARAB(100, "benda", , , , 51)</f>
        <v xml:space="preserve"> → مئة في المائة</v>
      </c>
    </row>
    <row r="41" spans="2:5" ht="20.25" x14ac:dyDescent="0.3">
      <c r="B41" s="39" t="s">
        <v>107</v>
      </c>
    </row>
    <row r="42" spans="2:5" x14ac:dyDescent="0.25">
      <c r="B42" s="2"/>
    </row>
    <row r="43" spans="2:5" ht="18" customHeight="1" x14ac:dyDescent="0.25">
      <c r="C43" s="22" t="s">
        <v>25</v>
      </c>
      <c r="D43" s="22" t="s">
        <v>26</v>
      </c>
      <c r="E43" s="22" t="s">
        <v>27</v>
      </c>
    </row>
    <row r="44" spans="2:5" x14ac:dyDescent="0.25">
      <c r="C44" s="24" t="s">
        <v>28</v>
      </c>
      <c r="D44" s="25" t="s">
        <v>29</v>
      </c>
      <c r="E44" s="25" t="s">
        <v>30</v>
      </c>
    </row>
    <row r="45" spans="2:5" x14ac:dyDescent="0.25">
      <c r="C45" s="24" t="s">
        <v>31</v>
      </c>
      <c r="D45" s="25" t="s">
        <v>32</v>
      </c>
      <c r="E45" s="25" t="s">
        <v>33</v>
      </c>
    </row>
    <row r="46" spans="2:5" x14ac:dyDescent="0.25">
      <c r="C46" s="24" t="s">
        <v>34</v>
      </c>
      <c r="D46" s="25" t="s">
        <v>35</v>
      </c>
      <c r="E46" s="25" t="s">
        <v>36</v>
      </c>
    </row>
    <row r="47" spans="2:5" x14ac:dyDescent="0.25">
      <c r="C47" s="24" t="s">
        <v>37</v>
      </c>
      <c r="D47" s="25" t="s">
        <v>38</v>
      </c>
      <c r="E47" s="25" t="s">
        <v>39</v>
      </c>
    </row>
    <row r="48" spans="2:5" x14ac:dyDescent="0.25">
      <c r="C48" s="24" t="s">
        <v>40</v>
      </c>
      <c r="D48" s="25" t="s">
        <v>41</v>
      </c>
      <c r="E48" s="25" t="s">
        <v>33</v>
      </c>
    </row>
    <row r="49" spans="2:5" x14ac:dyDescent="0.25">
      <c r="C49" s="24" t="s">
        <v>42</v>
      </c>
      <c r="D49" s="25" t="s">
        <v>43</v>
      </c>
      <c r="E49" s="25" t="s">
        <v>44</v>
      </c>
    </row>
    <row r="50" spans="2:5" x14ac:dyDescent="0.25">
      <c r="C50" s="24" t="s">
        <v>68</v>
      </c>
      <c r="D50" s="25" t="s">
        <v>45</v>
      </c>
      <c r="E50" s="25" t="s">
        <v>46</v>
      </c>
    </row>
    <row r="51" spans="2:5" x14ac:dyDescent="0.25">
      <c r="C51" s="24" t="s">
        <v>47</v>
      </c>
      <c r="D51" s="25" t="s">
        <v>48</v>
      </c>
      <c r="E51" s="25" t="s">
        <v>49</v>
      </c>
    </row>
    <row r="52" spans="2:5" x14ac:dyDescent="0.25">
      <c r="C52" s="24" t="s">
        <v>50</v>
      </c>
      <c r="D52" s="25" t="s">
        <v>51</v>
      </c>
      <c r="E52" s="25" t="s">
        <v>52</v>
      </c>
    </row>
    <row r="53" spans="2:5" x14ac:dyDescent="0.25">
      <c r="D53" s="2"/>
    </row>
    <row r="54" spans="2:5" ht="20.25" x14ac:dyDescent="0.25">
      <c r="B54" s="40" t="s">
        <v>108</v>
      </c>
      <c r="D54" s="10"/>
    </row>
    <row r="55" spans="2:5" ht="20.25" x14ac:dyDescent="0.3">
      <c r="C55" s="2" t="s">
        <v>78</v>
      </c>
      <c r="D55" s="26"/>
    </row>
    <row r="56" spans="2:5" ht="20.25" x14ac:dyDescent="0.3">
      <c r="C56" s="37" t="s">
        <v>79</v>
      </c>
      <c r="D56" s="26"/>
    </row>
    <row r="57" spans="2:5" ht="20.25" x14ac:dyDescent="0.3">
      <c r="C57" s="36" t="s">
        <v>80</v>
      </c>
      <c r="D57" s="26"/>
    </row>
    <row r="58" spans="2:5" ht="20.25" x14ac:dyDescent="0.3">
      <c r="C58" s="36" t="s">
        <v>81</v>
      </c>
      <c r="D58" s="26"/>
    </row>
    <row r="59" spans="2:5" ht="20.25" x14ac:dyDescent="0.3">
      <c r="C59" s="36" t="s">
        <v>82</v>
      </c>
      <c r="D59" s="26"/>
    </row>
    <row r="60" spans="2:5" ht="20.25" x14ac:dyDescent="0.3">
      <c r="C60" s="37" t="s">
        <v>83</v>
      </c>
      <c r="D60" s="26"/>
    </row>
    <row r="61" spans="2:5" ht="20.25" x14ac:dyDescent="0.3">
      <c r="C61" s="36" t="s">
        <v>84</v>
      </c>
      <c r="D61" s="26"/>
    </row>
    <row r="62" spans="2:5" ht="20.25" x14ac:dyDescent="0.3">
      <c r="C62" s="36" t="s">
        <v>85</v>
      </c>
      <c r="D62" s="26"/>
    </row>
    <row r="63" spans="2:5" ht="20.25" x14ac:dyDescent="0.3">
      <c r="C63" s="36" t="s">
        <v>86</v>
      </c>
      <c r="D63" s="26"/>
    </row>
    <row r="64" spans="2:5" ht="20.25" x14ac:dyDescent="0.3">
      <c r="C64" s="36" t="s">
        <v>87</v>
      </c>
      <c r="D64" s="26"/>
    </row>
    <row r="65" spans="2:4" ht="20.25" x14ac:dyDescent="0.3">
      <c r="C65" s="37" t="s">
        <v>119</v>
      </c>
      <c r="D65" s="26"/>
    </row>
    <row r="66" spans="2:4" ht="20.25" x14ac:dyDescent="0.3">
      <c r="C66" s="36" t="s">
        <v>88</v>
      </c>
      <c r="D66" s="26"/>
    </row>
    <row r="67" spans="2:4" ht="20.25" x14ac:dyDescent="0.3">
      <c r="C67" s="36" t="s">
        <v>89</v>
      </c>
      <c r="D67" s="26"/>
    </row>
    <row r="68" spans="2:4" ht="20.25" x14ac:dyDescent="0.3">
      <c r="C68" s="36" t="s">
        <v>90</v>
      </c>
      <c r="D68" s="26"/>
    </row>
    <row r="69" spans="2:4" ht="20.25" x14ac:dyDescent="0.3">
      <c r="C69" s="36" t="s">
        <v>91</v>
      </c>
      <c r="D69" s="26"/>
    </row>
    <row r="70" spans="2:4" ht="20.25" x14ac:dyDescent="0.3">
      <c r="C70" s="37" t="s">
        <v>92</v>
      </c>
      <c r="D70" s="26"/>
    </row>
    <row r="71" spans="2:4" ht="20.25" x14ac:dyDescent="0.3">
      <c r="C71" s="36" t="s">
        <v>93</v>
      </c>
      <c r="D71" s="26"/>
    </row>
    <row r="72" spans="2:4" ht="20.25" x14ac:dyDescent="0.3">
      <c r="C72" s="36" t="s">
        <v>94</v>
      </c>
      <c r="D72" s="26"/>
    </row>
    <row r="73" spans="2:4" ht="20.25" x14ac:dyDescent="0.3">
      <c r="C73" s="36" t="s">
        <v>95</v>
      </c>
      <c r="D73" s="26"/>
    </row>
    <row r="74" spans="2:4" ht="20.25" x14ac:dyDescent="0.3">
      <c r="C74" s="37" t="s">
        <v>96</v>
      </c>
      <c r="D74" s="26"/>
    </row>
    <row r="75" spans="2:4" ht="20.25" x14ac:dyDescent="0.3">
      <c r="C75" s="36" t="s">
        <v>97</v>
      </c>
      <c r="D75" s="26"/>
    </row>
    <row r="76" spans="2:4" ht="20.25" x14ac:dyDescent="0.3">
      <c r="C76" s="36" t="s">
        <v>98</v>
      </c>
      <c r="D76" s="26"/>
    </row>
    <row r="77" spans="2:4" ht="20.25" x14ac:dyDescent="0.3">
      <c r="C77" s="36" t="s">
        <v>99</v>
      </c>
      <c r="D77" s="26"/>
    </row>
    <row r="78" spans="2:4" ht="20.25" x14ac:dyDescent="0.3">
      <c r="C78" s="36" t="s">
        <v>100</v>
      </c>
      <c r="D78" s="26"/>
    </row>
    <row r="79" spans="2:4" x14ac:dyDescent="0.25">
      <c r="C79" s="36" t="s">
        <v>101</v>
      </c>
    </row>
    <row r="80" spans="2:4" x14ac:dyDescent="0.25">
      <c r="B80" s="11"/>
      <c r="C80" s="36" t="s">
        <v>102</v>
      </c>
    </row>
    <row r="81" spans="2:5" x14ac:dyDescent="0.25">
      <c r="C81" s="36" t="s">
        <v>103</v>
      </c>
      <c r="D81" s="38"/>
      <c r="E81" s="38"/>
    </row>
    <row r="82" spans="2:5" ht="20.25" x14ac:dyDescent="0.3">
      <c r="C82" s="37" t="s">
        <v>104</v>
      </c>
      <c r="D82" s="26"/>
    </row>
    <row r="83" spans="2:5" x14ac:dyDescent="0.25">
      <c r="B83" s="15"/>
      <c r="C83" s="36" t="s">
        <v>115</v>
      </c>
    </row>
    <row r="84" spans="2:5" x14ac:dyDescent="0.25">
      <c r="B84" s="15"/>
      <c r="C84" s="36" t="s">
        <v>105</v>
      </c>
    </row>
    <row r="85" spans="2:5" x14ac:dyDescent="0.25">
      <c r="C85" s="36" t="s">
        <v>106</v>
      </c>
    </row>
    <row r="86" spans="2:5" x14ac:dyDescent="0.25">
      <c r="C86" s="36" t="s">
        <v>114</v>
      </c>
    </row>
    <row r="88" spans="2:5" ht="20.25" x14ac:dyDescent="0.25">
      <c r="B88" s="12" t="s">
        <v>53</v>
      </c>
    </row>
    <row r="89" spans="2:5" x14ac:dyDescent="0.25">
      <c r="B89" s="3"/>
      <c r="C89" s="13" t="s">
        <v>69</v>
      </c>
    </row>
    <row r="90" spans="2:5" x14ac:dyDescent="0.25">
      <c r="C90" s="13" t="s">
        <v>70</v>
      </c>
    </row>
    <row r="91" spans="2:5" x14ac:dyDescent="0.25">
      <c r="C91" s="13" t="s">
        <v>71</v>
      </c>
    </row>
    <row r="92" spans="2:5" x14ac:dyDescent="0.25">
      <c r="C92" s="13" t="s">
        <v>72</v>
      </c>
    </row>
    <row r="93" spans="2:5" x14ac:dyDescent="0.25">
      <c r="C93" s="13" t="s">
        <v>73</v>
      </c>
    </row>
    <row r="95" spans="2:5" ht="20.25" x14ac:dyDescent="0.25">
      <c r="B95" s="12" t="s">
        <v>54</v>
      </c>
    </row>
    <row r="96" spans="2:5" x14ac:dyDescent="0.25">
      <c r="B96" s="3"/>
      <c r="C96" s="13" t="s">
        <v>74</v>
      </c>
    </row>
    <row r="97" spans="1:4" ht="15.75" x14ac:dyDescent="0.25">
      <c r="C97" s="13" t="s">
        <v>75</v>
      </c>
    </row>
    <row r="98" spans="1:4" x14ac:dyDescent="0.25">
      <c r="C98" s="13" t="s">
        <v>55</v>
      </c>
    </row>
    <row r="100" spans="1:4" x14ac:dyDescent="0.25">
      <c r="A100" s="2"/>
    </row>
    <row r="101" spans="1:4" x14ac:dyDescent="0.25">
      <c r="B101" s="2" t="s">
        <v>7</v>
      </c>
    </row>
    <row r="102" spans="1:4" x14ac:dyDescent="0.25">
      <c r="B102" s="2" t="s">
        <v>5</v>
      </c>
      <c r="C102" s="6"/>
      <c r="D102" s="6"/>
    </row>
    <row r="103" spans="1:4" x14ac:dyDescent="0.25">
      <c r="B103" s="2" t="s">
        <v>8</v>
      </c>
      <c r="C103" s="7"/>
      <c r="D103" s="7"/>
    </row>
    <row r="104" spans="1:4" x14ac:dyDescent="0.25">
      <c r="B104" s="2"/>
      <c r="C104" s="8"/>
      <c r="D104" s="9"/>
    </row>
    <row r="105" spans="1:4" x14ac:dyDescent="0.25">
      <c r="B105" s="2"/>
      <c r="C105" s="8"/>
      <c r="D105" s="9"/>
    </row>
    <row r="106" spans="1:4" x14ac:dyDescent="0.25">
      <c r="B106" s="2"/>
    </row>
    <row r="107" spans="1:4" x14ac:dyDescent="0.25">
      <c r="A107" s="2"/>
    </row>
  </sheetData>
  <sheetProtection sheet="1" objects="1" scenarios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3"/>
  <sheetViews>
    <sheetView tabSelected="1" workbookViewId="0">
      <selection activeCell="C5" sqref="C5"/>
    </sheetView>
  </sheetViews>
  <sheetFormatPr defaultRowHeight="15" x14ac:dyDescent="0.25"/>
  <cols>
    <col min="2" max="2" width="22.7109375" customWidth="1"/>
    <col min="3" max="3" width="46" customWidth="1"/>
    <col min="4" max="4" width="50" customWidth="1"/>
    <col min="6" max="6" width="45.85546875" customWidth="1"/>
  </cols>
  <sheetData>
    <row r="1" spans="2:6" x14ac:dyDescent="0.25">
      <c r="D1" t="str">
        <f>IF(LEN(C5)&gt;66,"Maksimal 66 digit saja",IF(LEN(C5)&gt;29,LEN(C5)&amp;" gunakan tanda kutif "&amp; "''….''",LEN(C5)&amp;" Digit"))</f>
        <v>31 gunakan tanda kutif ''….''</v>
      </c>
    </row>
    <row r="2" spans="2:6" ht="15.75" x14ac:dyDescent="0.25">
      <c r="B2" s="11" t="s">
        <v>122</v>
      </c>
      <c r="C2" s="33"/>
      <c r="D2" s="34"/>
    </row>
    <row r="3" spans="2:6" x14ac:dyDescent="0.25">
      <c r="B3" s="11"/>
      <c r="C3" s="33"/>
      <c r="D3" s="34"/>
    </row>
    <row r="4" spans="2:6" ht="15.75" x14ac:dyDescent="0.25">
      <c r="B4" s="29" t="s">
        <v>13</v>
      </c>
      <c r="C4" s="29" t="s">
        <v>14</v>
      </c>
      <c r="D4" s="22" t="s">
        <v>76</v>
      </c>
      <c r="F4" s="2" t="s">
        <v>15</v>
      </c>
    </row>
    <row r="5" spans="2:6" ht="24.95" customHeight="1" x14ac:dyDescent="0.25">
      <c r="B5" s="30" t="s">
        <v>0</v>
      </c>
      <c r="C5" s="35" t="s">
        <v>124</v>
      </c>
      <c r="D5" s="48" t="str">
        <f>TERBILANG_ARAB($C$5,$C$6,$C$7,$C$8,$C$9,$C$10,$C$11,$C$12)</f>
        <v>تِسْعُ مِائَةُ و تسعة و تِسْعُونَ كوادريليونا و تِسْعُ مِائَةُ و تسعة و تِسْعُونَ تريليارا و تِسْعُ مِائَةُ و تسعة و تِسْعُونَ تريليونا و تِسْعُ مِائَةُ و تسعة و تِسْعُونَ بليارا و تِسْعُ مِائَةُ و تسعة و تِسْعُونَ بليونا و تِسْعُ مِائَةُ و تسعة و تِسْعُونَ مليارا و تِسْعُ مِائَةُ و تسعة و تِسْعُونَ مليونا و تِسْعُ مِائَةُ و تسعة و تِسْعُونَ ألفا و تِسْعُ مِائَةُ و تِسْعُ و تِسْعُونَ رُوْبِيَّة و تسعة و ثَمَانُونَ سن</v>
      </c>
      <c r="F5" s="47" t="str">
        <f>IF(C6="umum","Parameter tidak digunakan",IF(C6="uang","Parameter isi dengan kode negara",IF(C6="urutan","pilih gender 'f' untuk martabah dan 'm fashl, catatan: hanya 1 - 12 saja",IF(C6="benda","gunakan parameter 1 - 63",IF(C6="jarak"," gender, I'rab, gaya,dan Parameter tidak digunakan")))))</f>
        <v>Parameter isi dengan kode negara</v>
      </c>
    </row>
    <row r="6" spans="2:6" ht="15.75" customHeight="1" x14ac:dyDescent="0.25">
      <c r="B6" s="30" t="s">
        <v>17</v>
      </c>
      <c r="C6" s="31" t="s">
        <v>123</v>
      </c>
      <c r="D6" s="49"/>
      <c r="F6" s="47"/>
    </row>
    <row r="7" spans="2:6" ht="15.75" customHeight="1" x14ac:dyDescent="0.25">
      <c r="B7" s="30" t="s">
        <v>19</v>
      </c>
      <c r="C7" s="31"/>
      <c r="D7" s="49"/>
      <c r="F7" s="47"/>
    </row>
    <row r="8" spans="2:6" ht="15.75" customHeight="1" x14ac:dyDescent="0.25">
      <c r="B8" s="30" t="s">
        <v>20</v>
      </c>
      <c r="C8" s="31"/>
      <c r="D8" s="49"/>
      <c r="F8" s="47"/>
    </row>
    <row r="9" spans="2:6" ht="15.75" customHeight="1" x14ac:dyDescent="0.25">
      <c r="B9" s="30" t="s">
        <v>21</v>
      </c>
      <c r="C9" s="31"/>
      <c r="D9" s="49"/>
      <c r="F9" s="47"/>
    </row>
    <row r="10" spans="2:6" ht="15.75" customHeight="1" x14ac:dyDescent="0.25">
      <c r="B10" s="30" t="s">
        <v>13</v>
      </c>
      <c r="C10" s="32" t="s">
        <v>28</v>
      </c>
      <c r="D10" s="49"/>
      <c r="F10" s="47"/>
    </row>
    <row r="11" spans="2:6" ht="15.75" customHeight="1" x14ac:dyDescent="0.25">
      <c r="B11" s="30" t="s">
        <v>23</v>
      </c>
      <c r="C11" s="31" t="b">
        <v>1</v>
      </c>
      <c r="D11" s="49"/>
      <c r="F11" s="47"/>
    </row>
    <row r="12" spans="2:6" ht="15.75" customHeight="1" x14ac:dyDescent="0.25">
      <c r="B12" s="30" t="s">
        <v>121</v>
      </c>
      <c r="C12" s="31"/>
      <c r="D12" s="49"/>
      <c r="F12" s="47"/>
    </row>
    <row r="13" spans="2:6" ht="15.6" customHeight="1" x14ac:dyDescent="0.25">
      <c r="B13" s="45"/>
      <c r="D13" s="46"/>
      <c r="F13" s="44"/>
    </row>
  </sheetData>
  <mergeCells count="2">
    <mergeCell ref="F5:F12"/>
    <mergeCell ref="D5:D12"/>
  </mergeCells>
  <dataValidations count="6">
    <dataValidation type="list" allowBlank="1" showInputMessage="1" showErrorMessage="1" promptTitle="Jenis konversi" prompt="&quot;umum&quot;, &quot;uang&quot;, &quot;urutan&quot;, &quot;eja&quot;, &quot;benda&quot;" sqref="C6">
      <formula1>"umum, urutan, eja, uang, jarak, meter, waktu, buku, lainnya"</formula1>
    </dataValidation>
    <dataValidation type="list" allowBlank="1" showInputMessage="1" showErrorMessage="1" promptTitle="Gender" prompt="Default: &quot;m&quot;_x000a__x000a_&quot;m&quot; (laki-laki), &quot;f&quot; (perempuan)" sqref="C7">
      <formula1>"m,f"</formula1>
    </dataValidation>
    <dataValidation type="list" allowBlank="1" showInputMessage="1" showErrorMessage="1" promptTitle="I'rab" prompt="Default: &quot;u&quot;_x000a__x000a_&quot;u&quot; (Marfu’), &quot;a&quot; (Mansub/Majrur)" sqref="C8">
      <formula1>"u,a,i"</formula1>
    </dataValidation>
    <dataValidation type="list" allowBlank="1" showInputMessage="1" showErrorMessage="1" promptTitle="Gaya" prompt="Default: &quot;modern&quot;_x000a__x000a_&quot;modern&quot; (spasi), &quot;klasik&quot; (sambung)" sqref="C9">
      <formula1>"modern,klasik,Sastra"</formula1>
    </dataValidation>
    <dataValidation type="list" allowBlank="1" showInputMessage="1" showErrorMessage="1" sqref="C10">
      <formula1>"id,sa,kw,ae,qa,my,sg,bn, jp,cn,1, 2, 3, 4, 5, 6, 7, 10, 11, 12, 13, 20, 21, 22, 40, 41, 42, 43, 50, 51, 51, 52, 53, 60, 61, 62, 63"</formula1>
    </dataValidation>
    <dataValidation type="list" allowBlank="1" showInputMessage="1" showErrorMessage="1" sqref="C11:C12">
      <formula1>"TRUE,FALSE"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Sheet1</vt:lpstr>
    </vt:vector>
  </TitlesOfParts>
  <Company>Oprekin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</dc:creator>
  <cp:lastModifiedBy>AmaN</cp:lastModifiedBy>
  <dcterms:created xsi:type="dcterms:W3CDTF">2026-01-12T09:14:38Z</dcterms:created>
  <dcterms:modified xsi:type="dcterms:W3CDTF">2026-02-02T15:51:28Z</dcterms:modified>
</cp:coreProperties>
</file>